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Inputs" sheetId="2" state="visible" r:id="rId4"/>
    <sheet name="Schedu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<sst xmlns="http://schemas.openxmlformats.org/spreadsheetml/2006/main" count="133" uniqueCount="108">
  <si>
    <t xml:space="preserve">Dustbins and refill time for each temple</t>
  </si>
  <si>
    <t xml:space="preserve">Every bin has the same rated capacity. The number of bins and the refill time differ because footfall differs. All values update from Inputs.</t>
  </si>
  <si>
    <t xml:space="preserve">Temple</t>
  </si>
  <si>
    <t xml:space="preserve">Footfall: ordinary</t>
  </si>
  <si>
    <t xml:space="preserve">Footfall: Tuesday</t>
  </si>
  <si>
    <t xml:space="preserve">Footfall: festival</t>
  </si>
  <si>
    <t xml:space="preserve">Waste (kg/day): ordinary</t>
  </si>
  <si>
    <t xml:space="preserve">Waste (kg/day): Tuesday</t>
  </si>
  <si>
    <t xml:space="preserve">Waste (kg/day): festival</t>
  </si>
  <si>
    <t xml:space="preserve">Rated capacity per bin (kg)</t>
  </si>
  <si>
    <t xml:space="preserve">Permanent bins</t>
  </si>
  <si>
    <t xml:space="preserve">Extra bins on festival days</t>
  </si>
  <si>
    <t xml:space="preserve">Hours to fill ONE bin: ordinary</t>
  </si>
  <si>
    <t xml:space="preserve">Hours to fill ONE bin: festival</t>
  </si>
  <si>
    <t xml:space="preserve">Hours to fill all bins: ordinary</t>
  </si>
  <si>
    <t xml:space="preserve">Hours to fill all bins: festival</t>
  </si>
  <si>
    <t xml:space="preserve">Pickup times</t>
  </si>
  <si>
    <t xml:space="preserve">How to read it</t>
  </si>
  <si>
    <t xml:space="preserve">- Permanent bins are the dustbins placed at the temple all year: at least the minimum on Inputs, and more for temples with higher footfall. Extra bins are temporary and placed only on festival days.</t>
  </si>
  <si>
    <t xml:space="preserve">- Hours to fill ONE bin shows how footfall changes the refill time even when every bin is the same size.</t>
  </si>
  <si>
    <t xml:space="preserve">- Hours to fill all bins is the time before the bins in place are full, and it stays at or above the pickup gap by design.</t>
  </si>
  <si>
    <t xml:space="preserve">- Footfall and waste per visitor are partly assumed: see the Basis columns on Inputs for the source of each number.</t>
  </si>
  <si>
    <t xml:space="preserve">Bins and pickup timing per temple: inputs</t>
  </si>
  <si>
    <t xml:space="preserve">Blue = typed input. Yellow fill = assumption. Black = formula. Edit only this sheet.</t>
  </si>
  <si>
    <t xml:space="preserve">Parameter</t>
  </si>
  <si>
    <t xml:space="preserve">Unit</t>
  </si>
  <si>
    <t xml:space="preserve">Value</t>
  </si>
  <si>
    <t xml:space="preserve">Basis</t>
  </si>
  <si>
    <t xml:space="preserve">Bin rated capacity</t>
  </si>
  <si>
    <t xml:space="preserve">kg</t>
  </si>
  <si>
    <t xml:space="preserve">Team field data (cleaning worker: 20 kg container)</t>
  </si>
  <si>
    <t xml:space="preserve">Maximum fill level</t>
  </si>
  <si>
    <t xml:space="preserve">fraction</t>
  </si>
  <si>
    <t xml:space="preserve">Team field data (about 95% at collection)</t>
  </si>
  <si>
    <t xml:space="preserve">Usable capacity per bin</t>
  </si>
  <si>
    <t xml:space="preserve">Formula: capacity x maximum fill</t>
  </si>
  <si>
    <t xml:space="preserve">Hours waste accumulates per day (H)</t>
  </si>
  <si>
    <t xml:space="preserve">hours</t>
  </si>
  <si>
    <t xml:space="preserve">Team workbook assumption</t>
  </si>
  <si>
    <t xml:space="preserve">Pickups per day</t>
  </si>
  <si>
    <t xml:space="preserve">count</t>
  </si>
  <si>
    <t xml:space="preserve">Team field data (cleaning worker: 2 rounds a day)</t>
  </si>
  <si>
    <t xml:space="preserve">Gap between pickups (T = H / pickups)</t>
  </si>
  <si>
    <t xml:space="preserve">Formula, as in the team workbook (collect every 6 h)</t>
  </si>
  <si>
    <t xml:space="preserve">Freshness limit</t>
  </si>
  <si>
    <t xml:space="preserve">Assumption: flowers rot within 24-48 h</t>
  </si>
  <si>
    <t xml:space="preserve">Morning pickup time (default)</t>
  </si>
  <si>
    <t xml:space="preserve">time</t>
  </si>
  <si>
    <t xml:space="preserve">Assumption: after the morning rush</t>
  </si>
  <si>
    <t xml:space="preserve">Evening pickup time (default)</t>
  </si>
  <si>
    <t xml:space="preserve">Assumption: after the evening aarti</t>
  </si>
  <si>
    <t xml:space="preserve">Minimum permanent bins per temple</t>
  </si>
  <si>
    <t xml:space="preserve">Team decision: at least 2 bins per temple, placed at different points (floors, entry and exit gates) so waste can be dropped close to where it is generated</t>
  </si>
  <si>
    <t xml:space="preserve">Survey and online reference values</t>
  </si>
  <si>
    <t xml:space="preserve">Reference</t>
  </si>
  <si>
    <t xml:space="preserve">Old City survey: mean visitors per temple per day</t>
  </si>
  <si>
    <t xml:space="preserve">visitors</t>
  </si>
  <si>
    <t xml:space="preserve">Primary data, Team Warriors, Univ. of Jammu, Feb 2024 (68,107 visitors a week over 30 temples)</t>
  </si>
  <si>
    <t xml:space="preserve">Old City survey: Tuesday footfall index</t>
  </si>
  <si>
    <t xml:space="preserve">x</t>
  </si>
  <si>
    <t xml:space="preserve">Same survey: Tuesday is the busiest day (20.7% of weekly visitors)</t>
  </si>
  <si>
    <t xml:space="preserve">Old City survey: festival waste per temple</t>
  </si>
  <si>
    <t xml:space="preserve">Same survey, Table 4.3.9: midpoint of 18.9 and 22.5 kg (basis unclear in the source)</t>
  </si>
  <si>
    <t xml:space="preserve">Ranbireshwar survey waste per ordinary day</t>
  </si>
  <si>
    <t xml:space="preserve">Same survey: daily min 3.21, max 3.50 kg (all waste types), midpoint</t>
  </si>
  <si>
    <t xml:space="preserve">Bahu Fort Tuesday and Sunday multiplier</t>
  </si>
  <si>
    <t xml:space="preserve">Assumption: Tuesday and Sunday are the special worship days (J&amp;K Tourism, Maa Vaishno Devi Shrine Board site)</t>
  </si>
  <si>
    <t xml:space="preserve">Design rule: visitors per permanent bin (busiest regular day)</t>
  </si>
  <si>
    <t xml:space="preserve">Assumption, not measured (permanent bins only; festival extras are typed in column J below): one bin per about 500 visitors on the busier of ordinary day and Tuesday, so busier temples get more bins at more points. Change this to tune it (survey mean is 324 visitors per temple per day)</t>
  </si>
  <si>
    <t xml:space="preserve">Footfall and waste per visitor, by temple</t>
  </si>
  <si>
    <t xml:space="preserve">Footfall: ordinary day (visitors)</t>
  </si>
  <si>
    <t xml:space="preserve">Footfall: Tuesday (visitors)</t>
  </si>
  <si>
    <t xml:space="preserve">Footfall: festival day (visitors)</t>
  </si>
  <si>
    <t xml:space="preserve">Waste per visitor (kg)</t>
  </si>
  <si>
    <t xml:space="preserve">Morning pickup</t>
  </si>
  <si>
    <t xml:space="preserve">Evening pickup</t>
  </si>
  <si>
    <t xml:space="preserve">Basis for footfall</t>
  </si>
  <si>
    <t xml:space="preserve">Basis for waste per visitor</t>
  </si>
  <si>
    <t xml:space="preserve">Raghunath (Ram) temple</t>
  </si>
  <si>
    <t xml:space="preserve">Team workbook footfall (assumption back-solved from interviews). Tuesday set equal to ordinary, as in the workbook.</t>
  </si>
  <si>
    <t xml:space="preserve">Team workbook: 0.8 kg of flowers over 60 visitors</t>
  </si>
  <si>
    <t xml:space="preserve">Shiv temple</t>
  </si>
  <si>
    <t xml:space="preserve">Team workbook footfall (assumption back-solved from interviews)</t>
  </si>
  <si>
    <t xml:space="preserve">Team workbook: 0.6 kg of flowers over 60 visitors</t>
  </si>
  <si>
    <t xml:space="preserve">Baave Wali Mata temple</t>
  </si>
  <si>
    <t xml:space="preserve">Ordinary: assumption, above the survey mean of 324 because it is Jammu's presiding shrine with a heavy daily rush (Daily Excelsior). Tuesday: ordinary x multiplier. Festival: 10,000 pilgrims on the last day of Navratra (Daily Excelsior, Oct 2020, a low-key COVID year).</t>
  </si>
  <si>
    <t xml:space="preserve">Assumption: same as the Raghunath temple, a similar large temple</t>
  </si>
  <si>
    <t xml:space="preserve">Ranbireshwar temple</t>
  </si>
  <si>
    <t xml:space="preserve">Ordinary: Old City survey mean visitors. Tuesday: survey Tuesday index. Festival: survey festival waste divided by waste per visitor.</t>
  </si>
  <si>
    <t xml:space="preserve">Survey waste on an ordinary day divided by survey mean visitors</t>
  </si>
  <si>
    <t xml:space="preserve">Raghunath is treated as the team's Ram temple. Yellow = footfall or rate assumed, not measured. Times can be changed per temple in columns F and G. Extra festival bins (column J) are a team decision.</t>
  </si>
  <si>
    <t xml:space="preserve">Bins, refill time and pickup times: every temple and day type</t>
  </si>
  <si>
    <t xml:space="preserve">Waste = footfall x waste per visitor. Bins needed = waste accumulated during one pickup gap / usable bin capacity, rounded up. Refill time = bins in place x usable capacity / accumulation rate.</t>
  </si>
  <si>
    <t xml:space="preserve">Day type</t>
  </si>
  <si>
    <t xml:space="preserve">Footfall (visitors)</t>
  </si>
  <si>
    <t xml:space="preserve">Waste (kg/day)</t>
  </si>
  <si>
    <t xml:space="preserve">Accumulation (kg/hour)</t>
  </si>
  <si>
    <t xml:space="preserve">Hours to fill ONE bin</t>
  </si>
  <si>
    <t xml:space="preserve">Bins needed</t>
  </si>
  <si>
    <t xml:space="preserve">Bins in place</t>
  </si>
  <si>
    <t xml:space="preserve">Hours to fill all bins in place</t>
  </si>
  <si>
    <t xml:space="preserve">Pickup 1</t>
  </si>
  <si>
    <t xml:space="preserve">Pickup 2</t>
  </si>
  <si>
    <t xml:space="preserve">Gap within freshness limit?</t>
  </si>
  <si>
    <t xml:space="preserve">Ordinary</t>
  </si>
  <si>
    <t xml:space="preserve">Tuesday</t>
  </si>
  <si>
    <t xml:space="preserve">Festival</t>
  </si>
  <si>
    <t xml:space="preserve">Permanent bins are the largest of: ordinary-day need, Tuesday need, the minimum per temple (Inputs C14), and busiest regular-day footfall / visitors per bin (Inputs C22). On festival days the bins in place are permanent bins plus the extra temporary bins typed in Inputs column J (team decision), and never fewer than the capacity need.</t>
  </si>
</sst>
</file>

<file path=xl/styles.xml><?xml version="1.0" encoding="utf-8"?>
<styleSheet xmlns="http://schemas.openxmlformats.org/spreadsheetml/2006/main">
  <numFmts count="10">
    <numFmt numFmtId="164" formatCode="General"/>
    <numFmt numFmtId="165" formatCode="@"/>
    <numFmt numFmtId="166" formatCode="#,##0"/>
    <numFmt numFmtId="167" formatCode="0.0"/>
    <numFmt numFmtId="168" formatCode="0"/>
    <numFmt numFmtId="169" formatCode="0%"/>
    <numFmt numFmtId="170" formatCode="hh:mm"/>
    <numFmt numFmtId="171" formatCode="0.00"/>
    <numFmt numFmtId="172" formatCode="0.000"/>
    <numFmt numFmtId="173" formatCode="0.0000"/>
  </numFmts>
  <fonts count="13">
    <font>
      <sz val="11"/>
      <color theme="1"/>
      <name val="Calibri"/>
      <family val="2"/>
      <charset val="1"/>
    </font>
    <font>
      <sz val="10"/>
      <name val="Arial"/>
      <family val="0"/>
    </font>
    <font>
      <sz val="10"/>
      <name val="Arial"/>
      <family val="0"/>
    </font>
    <font>
      <sz val="10"/>
      <name val="Arial"/>
      <family val="0"/>
    </font>
    <font>
      <b val="true"/>
      <sz val="14"/>
      <color rgb="FF1F4D3A"/>
      <name val="Arial"/>
      <family val="0"/>
      <charset val="1"/>
    </font>
    <font>
      <sz val="10"/>
      <color rgb="FF6B7280"/>
      <name val="Arial"/>
      <family val="0"/>
      <charset val="1"/>
    </font>
    <font>
      <b val="true"/>
      <sz val="10"/>
      <color rgb="FFFFFFFF"/>
      <name val="Arial"/>
      <family val="0"/>
      <charset val="1"/>
    </font>
    <font>
      <b val="true"/>
      <sz val="10"/>
      <color rgb="FF008000"/>
      <name val="Arial"/>
      <family val="0"/>
      <charset val="1"/>
    </font>
    <font>
      <sz val="10"/>
      <color rgb="FF008000"/>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b val="true"/>
      <sz val="12"/>
      <color rgb="FF1F4D3A"/>
      <name val="Arial"/>
      <family val="0"/>
      <charset val="1"/>
    </font>
  </fonts>
  <fills count="5">
    <fill>
      <patternFill patternType="none"/>
    </fill>
    <fill>
      <patternFill patternType="gray125"/>
    </fill>
    <fill>
      <patternFill patternType="solid">
        <fgColor rgb="FF1F4D3A"/>
        <bgColor rgb="FF333300"/>
      </patternFill>
    </fill>
    <fill>
      <patternFill patternType="solid">
        <fgColor rgb="FFFFFF00"/>
        <bgColor rgb="FFFFFF00"/>
      </patternFill>
    </fill>
    <fill>
      <patternFill patternType="solid">
        <fgColor rgb="FFE8F3EC"/>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left"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true" applyProtection="false">
      <alignment horizontal="general" vertical="bottom" textRotation="0" wrapText="false" indent="0" shrinkToFit="false"/>
      <protection locked="true" hidden="false"/>
    </xf>
    <xf numFmtId="169" fontId="11" fillId="0"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general" vertical="bottom" textRotation="0" wrapText="false" indent="0" shrinkToFit="false"/>
      <protection locked="true" hidden="false"/>
    </xf>
    <xf numFmtId="168" fontId="11" fillId="0" borderId="1" xfId="0" applyFont="true" applyBorder="true" applyAlignment="true" applyProtection="false">
      <alignment horizontal="general" vertical="bottom" textRotation="0" wrapText="false" indent="0" shrinkToFit="false"/>
      <protection locked="true" hidden="false"/>
    </xf>
    <xf numFmtId="170" fontId="11" fillId="3"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general" vertical="bottom" textRotation="0" wrapText="false" indent="0" shrinkToFit="false"/>
      <protection locked="true" hidden="false"/>
    </xf>
    <xf numFmtId="172" fontId="11"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6" fontId="11" fillId="3"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0" fillId="3"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general" vertical="bottom" textRotation="0" wrapText="false" indent="0" shrinkToFit="false"/>
      <protection locked="true" hidden="false"/>
    </xf>
    <xf numFmtId="171" fontId="10" fillId="4" borderId="1" xfId="0" applyFont="true" applyBorder="true" applyAlignment="true" applyProtection="false">
      <alignment horizontal="general" vertical="bottom" textRotation="0" wrapText="false" indent="0" shrinkToFit="false"/>
      <protection locked="true" hidden="false"/>
    </xf>
    <xf numFmtId="168" fontId="10" fillId="4"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70" fontId="8" fillId="4"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71" fontId="10" fillId="0"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8F3EC"/>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4D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421875" defaultRowHeight="15" zeroHeight="false" outlineLevelRow="0" outlineLevelCol="0"/>
  <cols>
    <col collapsed="false" customWidth="true" hidden="false" outlineLevel="0" max="1" min="1" style="1" width="25.97"/>
    <col collapsed="false" customWidth="true" hidden="false" outlineLevel="0" max="4" min="2" style="1" width="11.03"/>
    <col collapsed="false" customWidth="true" hidden="false" outlineLevel="0" max="8" min="5" style="1" width="13.03"/>
    <col collapsed="false" customWidth="true" hidden="false" outlineLevel="0" max="9" min="9" style="1" width="11.03"/>
    <col collapsed="false" customWidth="true" hidden="false" outlineLevel="0" max="10" min="10" style="1" width="13.03"/>
    <col collapsed="false" customWidth="true" hidden="false" outlineLevel="0" max="14" min="11" style="1" width="14.93"/>
    <col collapsed="false" customWidth="true" hidden="false" outlineLevel="0" max="15" min="15" style="1" width="18.03"/>
  </cols>
  <sheetData>
    <row r="1" customFormat="false" ht="18" hidden="false" customHeight="true" outlineLevel="0" collapsed="false">
      <c r="A1" s="2" t="s">
        <v>0</v>
      </c>
    </row>
    <row r="2" customFormat="false" ht="15" hidden="false" customHeight="true" outlineLevel="0" collapsed="false">
      <c r="A2" s="3" t="s">
        <v>1</v>
      </c>
    </row>
    <row r="4" customFormat="false" ht="61.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c r="N4" s="4" t="s">
        <v>15</v>
      </c>
      <c r="O4" s="4" t="s">
        <v>16</v>
      </c>
    </row>
    <row r="5" customFormat="false" ht="15" hidden="false" customHeight="true" outlineLevel="0" collapsed="false">
      <c r="A5" s="5" t="str">
        <f aca="false">Schedule!A5</f>
        <v>Raghunath (Ram) temple</v>
      </c>
      <c r="B5" s="6" t="n">
        <f aca="false">Schedule!C5</f>
        <v>550</v>
      </c>
      <c r="C5" s="6" t="n">
        <f aca="false">Schedule!C6</f>
        <v>550</v>
      </c>
      <c r="D5" s="6" t="n">
        <f aca="false">Schedule!C7</f>
        <v>11000</v>
      </c>
      <c r="E5" s="7" t="n">
        <f aca="false">Schedule!D5</f>
        <v>7.33333333333333</v>
      </c>
      <c r="F5" s="7" t="n">
        <f aca="false">Schedule!D6</f>
        <v>7.33333333333333</v>
      </c>
      <c r="G5" s="7" t="n">
        <f aca="false">Schedule!D7</f>
        <v>146.666666666667</v>
      </c>
      <c r="H5" s="8" t="n">
        <f aca="false">Inputs!$C$5</f>
        <v>20</v>
      </c>
      <c r="I5" s="8" t="n">
        <f aca="false">Schedule!H5</f>
        <v>2</v>
      </c>
      <c r="J5" s="8" t="n">
        <f aca="false">Schedule!H7-Schedule!H5</f>
        <v>13</v>
      </c>
      <c r="K5" s="7" t="n">
        <f aca="false">Schedule!F5</f>
        <v>31.0909090909091</v>
      </c>
      <c r="L5" s="7" t="n">
        <f aca="false">Schedule!F7</f>
        <v>1.55454545454545</v>
      </c>
      <c r="M5" s="7" t="n">
        <f aca="false">Schedule!I5</f>
        <v>62.1818181818182</v>
      </c>
      <c r="N5" s="7" t="n">
        <f aca="false">Schedule!I7</f>
        <v>23.3181818181818</v>
      </c>
      <c r="O5" s="9" t="str">
        <f aca="false">TEXT(Schedule!K5,"hh:mm")&amp;" and "&amp;TEXT(Schedule!L5,"hh:mm")</f>
        <v>10:00 and 20:00</v>
      </c>
    </row>
    <row r="6" customFormat="false" ht="15" hidden="false" customHeight="true" outlineLevel="0" collapsed="false">
      <c r="A6" s="5" t="str">
        <f aca="false">Schedule!A8</f>
        <v>Shiv temple</v>
      </c>
      <c r="B6" s="6" t="n">
        <f aca="false">Schedule!C8</f>
        <v>400</v>
      </c>
      <c r="C6" s="6" t="n">
        <f aca="false">Schedule!C9</f>
        <v>900</v>
      </c>
      <c r="D6" s="6" t="n">
        <f aca="false">Schedule!C10</f>
        <v>5000</v>
      </c>
      <c r="E6" s="7" t="n">
        <f aca="false">Schedule!D8</f>
        <v>4</v>
      </c>
      <c r="F6" s="7" t="n">
        <f aca="false">Schedule!D9</f>
        <v>9</v>
      </c>
      <c r="G6" s="7" t="n">
        <f aca="false">Schedule!D10</f>
        <v>50</v>
      </c>
      <c r="H6" s="8" t="n">
        <f aca="false">Inputs!$C$5</f>
        <v>20</v>
      </c>
      <c r="I6" s="8" t="n">
        <f aca="false">Schedule!H8</f>
        <v>2</v>
      </c>
      <c r="J6" s="8" t="n">
        <f aca="false">Schedule!H10-Schedule!H8</f>
        <v>6</v>
      </c>
      <c r="K6" s="7" t="n">
        <f aca="false">Schedule!F8</f>
        <v>57</v>
      </c>
      <c r="L6" s="7" t="n">
        <f aca="false">Schedule!F10</f>
        <v>4.56</v>
      </c>
      <c r="M6" s="7" t="n">
        <f aca="false">Schedule!I8</f>
        <v>114</v>
      </c>
      <c r="N6" s="7" t="n">
        <f aca="false">Schedule!I10</f>
        <v>36.48</v>
      </c>
      <c r="O6" s="9" t="str">
        <f aca="false">TEXT(Schedule!K8,"hh:mm")&amp;" and "&amp;TEXT(Schedule!L8,"hh:mm")</f>
        <v>10:00 and 20:00</v>
      </c>
    </row>
    <row r="7" customFormat="false" ht="15" hidden="false" customHeight="true" outlineLevel="0" collapsed="false">
      <c r="A7" s="5" t="str">
        <f aca="false">Schedule!A11</f>
        <v>Baave Wali Mata temple</v>
      </c>
      <c r="B7" s="6" t="n">
        <f aca="false">Schedule!C11</f>
        <v>1000</v>
      </c>
      <c r="C7" s="6" t="n">
        <f aca="false">Schedule!C12</f>
        <v>2000</v>
      </c>
      <c r="D7" s="6" t="n">
        <f aca="false">Schedule!C13</f>
        <v>10000</v>
      </c>
      <c r="E7" s="7" t="n">
        <f aca="false">Schedule!D11</f>
        <v>13.3333333333333</v>
      </c>
      <c r="F7" s="7" t="n">
        <f aca="false">Schedule!D12</f>
        <v>26.6666666666667</v>
      </c>
      <c r="G7" s="7" t="n">
        <f aca="false">Schedule!D13</f>
        <v>133.333333333333</v>
      </c>
      <c r="H7" s="8" t="n">
        <f aca="false">Inputs!$C$5</f>
        <v>20</v>
      </c>
      <c r="I7" s="8" t="n">
        <f aca="false">Schedule!H11</f>
        <v>4</v>
      </c>
      <c r="J7" s="8" t="n">
        <f aca="false">Schedule!H13-Schedule!H11</f>
        <v>12</v>
      </c>
      <c r="K7" s="7" t="n">
        <f aca="false">Schedule!F11</f>
        <v>17.1</v>
      </c>
      <c r="L7" s="7" t="n">
        <f aca="false">Schedule!F13</f>
        <v>1.71</v>
      </c>
      <c r="M7" s="7" t="n">
        <f aca="false">Schedule!I11</f>
        <v>68.4</v>
      </c>
      <c r="N7" s="7" t="n">
        <f aca="false">Schedule!I13</f>
        <v>27.36</v>
      </c>
      <c r="O7" s="9" t="str">
        <f aca="false">TEXT(Schedule!K11,"hh:mm")&amp;" and "&amp;TEXT(Schedule!L11,"hh:mm")</f>
        <v>10:00 and 20:00</v>
      </c>
    </row>
    <row r="8" customFormat="false" ht="15" hidden="false" customHeight="true" outlineLevel="0" collapsed="false">
      <c r="A8" s="5" t="str">
        <f aca="false">Schedule!A14</f>
        <v>Ranbireshwar temple</v>
      </c>
      <c r="B8" s="6" t="n">
        <f aca="false">Schedule!C14</f>
        <v>324</v>
      </c>
      <c r="C8" s="6" t="n">
        <f aca="false">Schedule!C15</f>
        <v>469.8</v>
      </c>
      <c r="D8" s="6" t="n">
        <f aca="false">Schedule!C16</f>
        <v>1999</v>
      </c>
      <c r="E8" s="7" t="n">
        <f aca="false">Schedule!D14</f>
        <v>3.355</v>
      </c>
      <c r="F8" s="7" t="n">
        <f aca="false">Schedule!D15</f>
        <v>4.86475</v>
      </c>
      <c r="G8" s="7" t="n">
        <f aca="false">Schedule!D16</f>
        <v>20.6995216049383</v>
      </c>
      <c r="H8" s="8" t="n">
        <f aca="false">Inputs!$C$5</f>
        <v>20</v>
      </c>
      <c r="I8" s="8" t="n">
        <f aca="false">Schedule!H14</f>
        <v>2</v>
      </c>
      <c r="J8" s="8" t="n">
        <f aca="false">Schedule!H16-Schedule!H14</f>
        <v>2</v>
      </c>
      <c r="K8" s="7" t="n">
        <f aca="false">Schedule!F14</f>
        <v>67.9582712369598</v>
      </c>
      <c r="L8" s="7" t="n">
        <f aca="false">Schedule!F16</f>
        <v>11.0147473140445</v>
      </c>
      <c r="M8" s="7" t="n">
        <f aca="false">Schedule!I14</f>
        <v>135.91654247392</v>
      </c>
      <c r="N8" s="7" t="n">
        <f aca="false">Schedule!I16</f>
        <v>44.058989256178</v>
      </c>
      <c r="O8" s="9" t="str">
        <f aca="false">TEXT(Schedule!K14,"hh:mm")&amp;" and "&amp;TEXT(Schedule!L14,"hh:mm")</f>
        <v>10:00 and 20:00</v>
      </c>
    </row>
    <row r="10" customFormat="false" ht="15" hidden="false" customHeight="true" outlineLevel="0" collapsed="false">
      <c r="A10" s="10" t="s">
        <v>17</v>
      </c>
    </row>
    <row r="11" customFormat="false" ht="15" hidden="false" customHeight="true" outlineLevel="0" collapsed="false">
      <c r="A11" s="11" t="s">
        <v>18</v>
      </c>
    </row>
    <row r="12" customFormat="false" ht="15" hidden="false" customHeight="true" outlineLevel="0" collapsed="false">
      <c r="A12" s="11" t="s">
        <v>19</v>
      </c>
    </row>
    <row r="13" customFormat="false" ht="15" hidden="false" customHeight="true" outlineLevel="0" collapsed="false">
      <c r="A13" s="11" t="s">
        <v>20</v>
      </c>
    </row>
    <row r="14" customFormat="false" ht="15" hidden="false" customHeight="true" outlineLevel="0" collapsed="false">
      <c r="A14" s="11"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421875" defaultRowHeight="15" zeroHeight="false" outlineLevelRow="0" outlineLevelCol="0"/>
  <cols>
    <col collapsed="false" customWidth="true" hidden="false" outlineLevel="0" max="1" min="1" style="1" width="43.99"/>
    <col collapsed="false" customWidth="true" hidden="false" outlineLevel="0" max="3" min="2" style="1" width="16.01"/>
    <col collapsed="false" customWidth="true" hidden="false" outlineLevel="0" max="4" min="4" style="1" width="60"/>
    <col collapsed="false" customWidth="true" hidden="false" outlineLevel="0" max="5" min="5" style="1" width="16.01"/>
    <col collapsed="false" customWidth="true" hidden="false" outlineLevel="0" max="7" min="6" style="1" width="11.97"/>
    <col collapsed="false" customWidth="true" hidden="false" outlineLevel="0" max="8" min="8" style="1" width="69.95"/>
    <col collapsed="false" customWidth="true" hidden="false" outlineLevel="0" max="9" min="9" style="1" width="43.99"/>
    <col collapsed="false" customWidth="true" hidden="false" outlineLevel="0" max="10" min="10" style="0" width="18"/>
  </cols>
  <sheetData>
    <row r="1" customFormat="false" ht="18" hidden="false" customHeight="true" outlineLevel="0" collapsed="false">
      <c r="A1" s="2" t="s">
        <v>22</v>
      </c>
    </row>
    <row r="2" customFormat="false" ht="15" hidden="false" customHeight="true" outlineLevel="0" collapsed="false">
      <c r="A2" s="3" t="s">
        <v>23</v>
      </c>
    </row>
    <row r="4" customFormat="false" ht="21.75" hidden="false" customHeight="true" outlineLevel="0" collapsed="false">
      <c r="A4" s="4" t="s">
        <v>24</v>
      </c>
      <c r="B4" s="4" t="s">
        <v>25</v>
      </c>
      <c r="C4" s="4" t="s">
        <v>26</v>
      </c>
      <c r="D4" s="4" t="s">
        <v>27</v>
      </c>
    </row>
    <row r="5" customFormat="false" ht="15" hidden="false" customHeight="true" outlineLevel="0" collapsed="false">
      <c r="A5" s="12" t="s">
        <v>28</v>
      </c>
      <c r="B5" s="12" t="s">
        <v>29</v>
      </c>
      <c r="C5" s="13" t="n">
        <v>20</v>
      </c>
      <c r="D5" s="12" t="s">
        <v>30</v>
      </c>
    </row>
    <row r="6" customFormat="false" ht="15" hidden="false" customHeight="true" outlineLevel="0" collapsed="false">
      <c r="A6" s="12" t="s">
        <v>31</v>
      </c>
      <c r="B6" s="12" t="s">
        <v>32</v>
      </c>
      <c r="C6" s="14" t="n">
        <v>0.95</v>
      </c>
      <c r="D6" s="12" t="s">
        <v>33</v>
      </c>
    </row>
    <row r="7" customFormat="false" ht="15" hidden="false" customHeight="true" outlineLevel="0" collapsed="false">
      <c r="A7" s="12" t="s">
        <v>34</v>
      </c>
      <c r="B7" s="12" t="s">
        <v>29</v>
      </c>
      <c r="C7" s="15" t="n">
        <f aca="false">C5*C6</f>
        <v>19</v>
      </c>
      <c r="D7" s="12" t="s">
        <v>35</v>
      </c>
    </row>
    <row r="8" customFormat="false" ht="15" hidden="false" customHeight="true" outlineLevel="0" collapsed="false">
      <c r="A8" s="12" t="s">
        <v>36</v>
      </c>
      <c r="B8" s="12" t="s">
        <v>37</v>
      </c>
      <c r="C8" s="16" t="n">
        <v>12</v>
      </c>
      <c r="D8" s="12" t="s">
        <v>38</v>
      </c>
    </row>
    <row r="9" customFormat="false" ht="15" hidden="false" customHeight="true" outlineLevel="0" collapsed="false">
      <c r="A9" s="12" t="s">
        <v>39</v>
      </c>
      <c r="B9" s="12" t="s">
        <v>40</v>
      </c>
      <c r="C9" s="17" t="n">
        <v>2</v>
      </c>
      <c r="D9" s="12" t="s">
        <v>41</v>
      </c>
    </row>
    <row r="10" customFormat="false" ht="15" hidden="false" customHeight="true" outlineLevel="0" collapsed="false">
      <c r="A10" s="12" t="s">
        <v>42</v>
      </c>
      <c r="B10" s="12" t="s">
        <v>37</v>
      </c>
      <c r="C10" s="15" t="n">
        <f aca="false">C8/C9</f>
        <v>6</v>
      </c>
      <c r="D10" s="12" t="s">
        <v>43</v>
      </c>
    </row>
    <row r="11" customFormat="false" ht="15" hidden="false" customHeight="true" outlineLevel="0" collapsed="false">
      <c r="A11" s="12" t="s">
        <v>44</v>
      </c>
      <c r="B11" s="12" t="s">
        <v>37</v>
      </c>
      <c r="C11" s="16" t="n">
        <v>24</v>
      </c>
      <c r="D11" s="12" t="s">
        <v>45</v>
      </c>
    </row>
    <row r="12" customFormat="false" ht="15" hidden="false" customHeight="true" outlineLevel="0" collapsed="false">
      <c r="A12" s="12" t="s">
        <v>46</v>
      </c>
      <c r="B12" s="12" t="s">
        <v>47</v>
      </c>
      <c r="C12" s="18" t="n">
        <v>0.416666666666667</v>
      </c>
      <c r="D12" s="12" t="s">
        <v>48</v>
      </c>
    </row>
    <row r="13" customFormat="false" ht="15" hidden="false" customHeight="true" outlineLevel="0" collapsed="false">
      <c r="A13" s="12" t="s">
        <v>49</v>
      </c>
      <c r="B13" s="12" t="s">
        <v>47</v>
      </c>
      <c r="C13" s="18" t="n">
        <v>0.833333333333333</v>
      </c>
      <c r="D13" s="12" t="s">
        <v>50</v>
      </c>
    </row>
    <row r="14" customFormat="false" ht="15" hidden="false" customHeight="true" outlineLevel="0" collapsed="false">
      <c r="A14" s="12" t="s">
        <v>51</v>
      </c>
      <c r="B14" s="12" t="s">
        <v>40</v>
      </c>
      <c r="C14" s="17" t="n">
        <v>2</v>
      </c>
      <c r="D14" s="12" t="s">
        <v>52</v>
      </c>
    </row>
    <row r="15" customFormat="false" ht="15" hidden="false" customHeight="true" outlineLevel="0" collapsed="false">
      <c r="A15" s="19" t="s">
        <v>53</v>
      </c>
    </row>
    <row r="16" customFormat="false" ht="21.75" hidden="false" customHeight="true" outlineLevel="0" collapsed="false">
      <c r="A16" s="4" t="s">
        <v>54</v>
      </c>
      <c r="B16" s="4" t="s">
        <v>25</v>
      </c>
      <c r="C16" s="4" t="s">
        <v>26</v>
      </c>
      <c r="D16" s="4" t="s">
        <v>27</v>
      </c>
    </row>
    <row r="17" customFormat="false" ht="15" hidden="false" customHeight="true" outlineLevel="0" collapsed="false">
      <c r="A17" s="12" t="s">
        <v>55</v>
      </c>
      <c r="B17" s="12" t="s">
        <v>56</v>
      </c>
      <c r="C17" s="20" t="n">
        <v>324</v>
      </c>
      <c r="D17" s="12" t="s">
        <v>57</v>
      </c>
    </row>
    <row r="18" customFormat="false" ht="15" hidden="false" customHeight="true" outlineLevel="0" collapsed="false">
      <c r="A18" s="12" t="s">
        <v>58</v>
      </c>
      <c r="B18" s="12" t="s">
        <v>59</v>
      </c>
      <c r="C18" s="21" t="n">
        <v>1.45</v>
      </c>
      <c r="D18" s="12" t="s">
        <v>60</v>
      </c>
    </row>
    <row r="19" customFormat="false" ht="15" hidden="false" customHeight="true" outlineLevel="0" collapsed="false">
      <c r="A19" s="12" t="s">
        <v>61</v>
      </c>
      <c r="B19" s="12" t="s">
        <v>29</v>
      </c>
      <c r="C19" s="13" t="n">
        <v>20.7</v>
      </c>
      <c r="D19" s="12" t="s">
        <v>62</v>
      </c>
    </row>
    <row r="20" customFormat="false" ht="15" hidden="false" customHeight="true" outlineLevel="0" collapsed="false">
      <c r="A20" s="12" t="s">
        <v>63</v>
      </c>
      <c r="B20" s="12" t="s">
        <v>29</v>
      </c>
      <c r="C20" s="22" t="n">
        <v>3.355</v>
      </c>
      <c r="D20" s="12" t="s">
        <v>64</v>
      </c>
    </row>
    <row r="21" customFormat="false" ht="15" hidden="false" customHeight="true" outlineLevel="0" collapsed="false">
      <c r="A21" s="12" t="s">
        <v>65</v>
      </c>
      <c r="B21" s="12" t="s">
        <v>59</v>
      </c>
      <c r="C21" s="16" t="n">
        <v>2</v>
      </c>
      <c r="D21" s="12" t="s">
        <v>66</v>
      </c>
    </row>
    <row r="22" customFormat="false" ht="15" hidden="false" customHeight="true" outlineLevel="0" collapsed="false">
      <c r="A22" s="12" t="s">
        <v>67</v>
      </c>
      <c r="B22" s="12" t="s">
        <v>56</v>
      </c>
      <c r="C22" s="16" t="n">
        <v>500</v>
      </c>
      <c r="D22" s="12" t="s">
        <v>68</v>
      </c>
    </row>
    <row r="24" customFormat="false" ht="15" hidden="false" customHeight="true" outlineLevel="0" collapsed="false">
      <c r="A24" s="19" t="s">
        <v>69</v>
      </c>
    </row>
    <row r="25" customFormat="false" ht="43.5" hidden="false" customHeight="true" outlineLevel="0" collapsed="false">
      <c r="A25" s="4" t="s">
        <v>2</v>
      </c>
      <c r="B25" s="4" t="s">
        <v>70</v>
      </c>
      <c r="C25" s="4" t="s">
        <v>71</v>
      </c>
      <c r="D25" s="4" t="s">
        <v>72</v>
      </c>
      <c r="E25" s="4" t="s">
        <v>73</v>
      </c>
      <c r="F25" s="4" t="s">
        <v>74</v>
      </c>
      <c r="G25" s="4" t="s">
        <v>75</v>
      </c>
      <c r="H25" s="4" t="s">
        <v>76</v>
      </c>
      <c r="I25" s="4" t="s">
        <v>77</v>
      </c>
      <c r="J25" s="4" t="s">
        <v>11</v>
      </c>
    </row>
    <row r="26" customFormat="false" ht="36" hidden="false" customHeight="true" outlineLevel="0" collapsed="false">
      <c r="A26" s="23" t="s">
        <v>78</v>
      </c>
      <c r="B26" s="24" t="n">
        <v>550</v>
      </c>
      <c r="C26" s="25" t="n">
        <f aca="false">B26</f>
        <v>550</v>
      </c>
      <c r="D26" s="24" t="n">
        <v>11000</v>
      </c>
      <c r="E26" s="26" t="n">
        <f aca="false">0.8/60</f>
        <v>0.0133333333333333</v>
      </c>
      <c r="F26" s="27" t="n">
        <f aca="false">$C$12</f>
        <v>0.416666666666667</v>
      </c>
      <c r="G26" s="27" t="n">
        <f aca="false">$C$13</f>
        <v>0.833333333333333</v>
      </c>
      <c r="H26" s="28" t="s">
        <v>79</v>
      </c>
      <c r="I26" s="28" t="s">
        <v>80</v>
      </c>
      <c r="J26" s="17" t="n">
        <v>13</v>
      </c>
    </row>
    <row r="27" customFormat="false" ht="36" hidden="false" customHeight="true" outlineLevel="0" collapsed="false">
      <c r="A27" s="23" t="s">
        <v>81</v>
      </c>
      <c r="B27" s="24" t="n">
        <v>400</v>
      </c>
      <c r="C27" s="24" t="n">
        <v>900</v>
      </c>
      <c r="D27" s="24" t="n">
        <v>5000</v>
      </c>
      <c r="E27" s="26" t="n">
        <f aca="false">0.6/60</f>
        <v>0.01</v>
      </c>
      <c r="F27" s="27" t="n">
        <f aca="false">$C$12</f>
        <v>0.416666666666667</v>
      </c>
      <c r="G27" s="27" t="n">
        <f aca="false">$C$13</f>
        <v>0.833333333333333</v>
      </c>
      <c r="H27" s="28" t="s">
        <v>82</v>
      </c>
      <c r="I27" s="28" t="s">
        <v>83</v>
      </c>
      <c r="J27" s="17" t="n">
        <v>6</v>
      </c>
    </row>
    <row r="28" customFormat="false" ht="60" hidden="false" customHeight="true" outlineLevel="0" collapsed="false">
      <c r="A28" s="23" t="s">
        <v>84</v>
      </c>
      <c r="B28" s="24" t="n">
        <v>1000</v>
      </c>
      <c r="C28" s="25" t="n">
        <f aca="false">B28*C21</f>
        <v>2000</v>
      </c>
      <c r="D28" s="20" t="n">
        <v>10000</v>
      </c>
      <c r="E28" s="26" t="n">
        <f aca="false">E26</f>
        <v>0.0133333333333333</v>
      </c>
      <c r="F28" s="27" t="n">
        <f aca="false">$C$12</f>
        <v>0.416666666666667</v>
      </c>
      <c r="G28" s="27" t="n">
        <f aca="false">$C$13</f>
        <v>0.833333333333333</v>
      </c>
      <c r="H28" s="28" t="s">
        <v>85</v>
      </c>
      <c r="I28" s="28" t="s">
        <v>86</v>
      </c>
      <c r="J28" s="17" t="n">
        <v>12</v>
      </c>
    </row>
    <row r="29" customFormat="false" ht="36" hidden="false" customHeight="true" outlineLevel="0" collapsed="false">
      <c r="A29" s="23" t="s">
        <v>87</v>
      </c>
      <c r="B29" s="29" t="n">
        <f aca="false">C17</f>
        <v>324</v>
      </c>
      <c r="C29" s="29" t="n">
        <f aca="false">B29*C18</f>
        <v>469.8</v>
      </c>
      <c r="D29" s="29" t="n">
        <f aca="false">ROUND(C19/E29,0)</f>
        <v>1999</v>
      </c>
      <c r="E29" s="26" t="n">
        <f aca="false">C20/B29</f>
        <v>0.0103549382716049</v>
      </c>
      <c r="F29" s="27" t="n">
        <f aca="false">$C$12</f>
        <v>0.416666666666667</v>
      </c>
      <c r="G29" s="27" t="n">
        <f aca="false">$C$13</f>
        <v>0.833333333333333</v>
      </c>
      <c r="H29" s="28" t="s">
        <v>88</v>
      </c>
      <c r="I29" s="28" t="s">
        <v>89</v>
      </c>
      <c r="J29" s="17" t="n">
        <v>2</v>
      </c>
    </row>
    <row r="31" customFormat="false" ht="15" hidden="false" customHeight="true" outlineLevel="0" collapsed="false">
      <c r="A31" s="3"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7421875" defaultRowHeight="15" zeroHeight="false" outlineLevelRow="0" outlineLevelCol="0"/>
  <cols>
    <col collapsed="false" customWidth="true" hidden="false" outlineLevel="0" max="1" min="1" style="1" width="25.97"/>
    <col collapsed="false" customWidth="true" hidden="false" outlineLevel="0" max="2" min="2" style="1" width="11.03"/>
    <col collapsed="false" customWidth="true" hidden="false" outlineLevel="0" max="4" min="3" style="1" width="11.97"/>
    <col collapsed="false" customWidth="true" hidden="false" outlineLevel="0" max="6" min="5" style="1" width="13.99"/>
    <col collapsed="false" customWidth="true" hidden="false" outlineLevel="0" max="8" min="7" style="1" width="9.94"/>
    <col collapsed="false" customWidth="true" hidden="false" outlineLevel="0" max="9" min="9" style="1" width="16.01"/>
    <col collapsed="false" customWidth="true" hidden="false" outlineLevel="0" max="12" min="10" style="1" width="9.94"/>
    <col collapsed="false" customWidth="true" hidden="false" outlineLevel="0" max="13" min="13" style="1" width="16.01"/>
  </cols>
  <sheetData>
    <row r="1" customFormat="false" ht="18" hidden="false" customHeight="true" outlineLevel="0" collapsed="false">
      <c r="A1" s="2" t="s">
        <v>91</v>
      </c>
    </row>
    <row r="2" customFormat="false" ht="15" hidden="false" customHeight="true" outlineLevel="0" collapsed="false">
      <c r="A2" s="3" t="s">
        <v>92</v>
      </c>
    </row>
    <row r="4" customFormat="false" ht="48" hidden="false" customHeight="true" outlineLevel="0" collapsed="false">
      <c r="A4" s="4" t="s">
        <v>2</v>
      </c>
      <c r="B4" s="4" t="s">
        <v>93</v>
      </c>
      <c r="C4" s="4" t="s">
        <v>94</v>
      </c>
      <c r="D4" s="4" t="s">
        <v>95</v>
      </c>
      <c r="E4" s="4" t="s">
        <v>96</v>
      </c>
      <c r="F4" s="4" t="s">
        <v>97</v>
      </c>
      <c r="G4" s="4" t="s">
        <v>98</v>
      </c>
      <c r="H4" s="4" t="s">
        <v>99</v>
      </c>
      <c r="I4" s="4" t="s">
        <v>100</v>
      </c>
      <c r="J4" s="4" t="s">
        <v>39</v>
      </c>
      <c r="K4" s="4" t="s">
        <v>101</v>
      </c>
      <c r="L4" s="4" t="s">
        <v>102</v>
      </c>
      <c r="M4" s="4" t="s">
        <v>103</v>
      </c>
    </row>
    <row r="5" customFormat="false" ht="15" hidden="false" customHeight="true" outlineLevel="0" collapsed="false">
      <c r="A5" s="30" t="str">
        <f aca="false">Inputs!A26</f>
        <v>Raghunath (Ram) temple</v>
      </c>
      <c r="B5" s="31" t="s">
        <v>104</v>
      </c>
      <c r="C5" s="32" t="n">
        <f aca="false">Inputs!B26</f>
        <v>550</v>
      </c>
      <c r="D5" s="33" t="n">
        <f aca="false">C5*Inputs!$E26</f>
        <v>7.33333333333333</v>
      </c>
      <c r="E5" s="34" t="n">
        <f aca="false">D5/Inputs!$C$8</f>
        <v>0.611111111111111</v>
      </c>
      <c r="F5" s="33" t="n">
        <f aca="false">IF(E5=0,"",Inputs!$C$7/E5)</f>
        <v>31.0909090909091</v>
      </c>
      <c r="G5" s="35" t="n">
        <f aca="false">MAX(1,ROUNDUP(E5*Inputs!$C$10/Inputs!$C$7,0))</f>
        <v>1</v>
      </c>
      <c r="H5" s="35" t="n">
        <f aca="false">MAX(G5,G6,Inputs!$C$14,ROUNDUP(MAX(C5,C6)/Inputs!$C$22,0))</f>
        <v>2</v>
      </c>
      <c r="I5" s="33" t="n">
        <f aca="false">H5*Inputs!$C$7/E5</f>
        <v>62.1818181818182</v>
      </c>
      <c r="J5" s="36" t="n">
        <f aca="false">Inputs!$C$9</f>
        <v>2</v>
      </c>
      <c r="K5" s="37" t="n">
        <f aca="false">Inputs!F26</f>
        <v>0.416666666666667</v>
      </c>
      <c r="L5" s="37" t="n">
        <f aca="false">Inputs!G26</f>
        <v>0.833333333333333</v>
      </c>
      <c r="M5" s="31" t="str">
        <f aca="false">IF(Inputs!$C$10&lt;=Inputs!$C$11,"Yes","No")</f>
        <v>Yes</v>
      </c>
    </row>
    <row r="6" customFormat="false" ht="15" hidden="false" customHeight="true" outlineLevel="0" collapsed="false">
      <c r="A6" s="38" t="str">
        <f aca="false">Inputs!A26</f>
        <v>Raghunath (Ram) temple</v>
      </c>
      <c r="B6" s="12" t="s">
        <v>105</v>
      </c>
      <c r="C6" s="39" t="n">
        <f aca="false">Inputs!C26</f>
        <v>550</v>
      </c>
      <c r="D6" s="15" t="n">
        <f aca="false">C6*Inputs!$E26</f>
        <v>7.33333333333333</v>
      </c>
      <c r="E6" s="40" t="n">
        <f aca="false">D6/Inputs!$C$8</f>
        <v>0.611111111111111</v>
      </c>
      <c r="F6" s="15" t="n">
        <f aca="false">IF(E6=0,"",Inputs!$C$7/E6)</f>
        <v>31.0909090909091</v>
      </c>
      <c r="G6" s="41" t="n">
        <f aca="false">MAX(1,ROUNDUP(E6*Inputs!$C$10/Inputs!$C$7,0))</f>
        <v>1</v>
      </c>
      <c r="H6" s="41" t="n">
        <f aca="false">MAX(G5,G6,Inputs!$C$14,ROUNDUP(MAX(C5,C6)/Inputs!$C$22,0))</f>
        <v>2</v>
      </c>
      <c r="I6" s="15" t="n">
        <f aca="false">H6*Inputs!$C$7/E6</f>
        <v>62.1818181818182</v>
      </c>
      <c r="J6" s="42" t="n">
        <f aca="false">Inputs!$C$9</f>
        <v>2</v>
      </c>
      <c r="K6" s="43" t="n">
        <f aca="false">Inputs!F26</f>
        <v>0.416666666666667</v>
      </c>
      <c r="L6" s="43" t="n">
        <f aca="false">Inputs!G26</f>
        <v>0.833333333333333</v>
      </c>
      <c r="M6" s="12" t="str">
        <f aca="false">IF(Inputs!$C$10&lt;=Inputs!$C$11,"Yes","No")</f>
        <v>Yes</v>
      </c>
    </row>
    <row r="7" customFormat="false" ht="15" hidden="false" customHeight="true" outlineLevel="0" collapsed="false">
      <c r="A7" s="38" t="str">
        <f aca="false">Inputs!A26</f>
        <v>Raghunath (Ram) temple</v>
      </c>
      <c r="B7" s="12" t="s">
        <v>106</v>
      </c>
      <c r="C7" s="39" t="n">
        <f aca="false">Inputs!D26</f>
        <v>11000</v>
      </c>
      <c r="D7" s="15" t="n">
        <f aca="false">C7*Inputs!$E26</f>
        <v>146.666666666667</v>
      </c>
      <c r="E7" s="40" t="n">
        <f aca="false">D7/Inputs!$C$8</f>
        <v>12.2222222222222</v>
      </c>
      <c r="F7" s="15" t="n">
        <f aca="false">IF(E7=0,"",Inputs!$C$7/E7)</f>
        <v>1.55454545454545</v>
      </c>
      <c r="G7" s="41" t="n">
        <f aca="false">MAX(1,ROUNDUP(E7*Inputs!$C$10/Inputs!$C$7,0))</f>
        <v>4</v>
      </c>
      <c r="H7" s="41" t="n">
        <f aca="false">MAX(G7,H5+Inputs!$J26)</f>
        <v>15</v>
      </c>
      <c r="I7" s="15" t="n">
        <f aca="false">H7*Inputs!$C$7/E7</f>
        <v>23.3181818181818</v>
      </c>
      <c r="J7" s="42" t="n">
        <f aca="false">Inputs!$C$9</f>
        <v>2</v>
      </c>
      <c r="K7" s="43" t="n">
        <f aca="false">Inputs!F26</f>
        <v>0.416666666666667</v>
      </c>
      <c r="L7" s="43" t="n">
        <f aca="false">Inputs!G26</f>
        <v>0.833333333333333</v>
      </c>
      <c r="M7" s="12" t="str">
        <f aca="false">IF(Inputs!$C$10&lt;=Inputs!$C$11,"Yes","No")</f>
        <v>Yes</v>
      </c>
    </row>
    <row r="8" customFormat="false" ht="15" hidden="false" customHeight="true" outlineLevel="0" collapsed="false">
      <c r="A8" s="30" t="str">
        <f aca="false">Inputs!A27</f>
        <v>Shiv temple</v>
      </c>
      <c r="B8" s="31" t="s">
        <v>104</v>
      </c>
      <c r="C8" s="32" t="n">
        <f aca="false">Inputs!B27</f>
        <v>400</v>
      </c>
      <c r="D8" s="33" t="n">
        <f aca="false">C8*Inputs!$E27</f>
        <v>4</v>
      </c>
      <c r="E8" s="34" t="n">
        <f aca="false">D8/Inputs!$C$8</f>
        <v>0.333333333333333</v>
      </c>
      <c r="F8" s="33" t="n">
        <f aca="false">IF(E8=0,"",Inputs!$C$7/E8)</f>
        <v>57</v>
      </c>
      <c r="G8" s="35" t="n">
        <f aca="false">MAX(1,ROUNDUP(E8*Inputs!$C$10/Inputs!$C$7,0))</f>
        <v>1</v>
      </c>
      <c r="H8" s="35" t="n">
        <f aca="false">MAX(G8,G9,Inputs!$C$14,ROUNDUP(MAX(C8,C9)/Inputs!$C$22,0))</f>
        <v>2</v>
      </c>
      <c r="I8" s="33" t="n">
        <f aca="false">H8*Inputs!$C$7/E8</f>
        <v>114</v>
      </c>
      <c r="J8" s="36" t="n">
        <f aca="false">Inputs!$C$9</f>
        <v>2</v>
      </c>
      <c r="K8" s="37" t="n">
        <f aca="false">Inputs!F27</f>
        <v>0.416666666666667</v>
      </c>
      <c r="L8" s="37" t="n">
        <f aca="false">Inputs!G27</f>
        <v>0.833333333333333</v>
      </c>
      <c r="M8" s="31" t="str">
        <f aca="false">IF(Inputs!$C$10&lt;=Inputs!$C$11,"Yes","No")</f>
        <v>Yes</v>
      </c>
    </row>
    <row r="9" customFormat="false" ht="15" hidden="false" customHeight="true" outlineLevel="0" collapsed="false">
      <c r="A9" s="38" t="str">
        <f aca="false">Inputs!A27</f>
        <v>Shiv temple</v>
      </c>
      <c r="B9" s="12" t="s">
        <v>105</v>
      </c>
      <c r="C9" s="39" t="n">
        <f aca="false">Inputs!C27</f>
        <v>900</v>
      </c>
      <c r="D9" s="15" t="n">
        <f aca="false">C9*Inputs!$E27</f>
        <v>9</v>
      </c>
      <c r="E9" s="40" t="n">
        <f aca="false">D9/Inputs!$C$8</f>
        <v>0.75</v>
      </c>
      <c r="F9" s="15" t="n">
        <f aca="false">IF(E9=0,"",Inputs!$C$7/E9)</f>
        <v>25.3333333333333</v>
      </c>
      <c r="G9" s="41" t="n">
        <f aca="false">MAX(1,ROUNDUP(E9*Inputs!$C$10/Inputs!$C$7,0))</f>
        <v>1</v>
      </c>
      <c r="H9" s="41" t="n">
        <f aca="false">MAX(G8,G9,Inputs!$C$14,ROUNDUP(MAX(C8,C9)/Inputs!$C$22,0))</f>
        <v>2</v>
      </c>
      <c r="I9" s="15" t="n">
        <f aca="false">H9*Inputs!$C$7/E9</f>
        <v>50.6666666666667</v>
      </c>
      <c r="J9" s="42" t="n">
        <f aca="false">Inputs!$C$9</f>
        <v>2</v>
      </c>
      <c r="K9" s="43" t="n">
        <f aca="false">Inputs!F27</f>
        <v>0.416666666666667</v>
      </c>
      <c r="L9" s="43" t="n">
        <f aca="false">Inputs!G27</f>
        <v>0.833333333333333</v>
      </c>
      <c r="M9" s="12" t="str">
        <f aca="false">IF(Inputs!$C$10&lt;=Inputs!$C$11,"Yes","No")</f>
        <v>Yes</v>
      </c>
    </row>
    <row r="10" customFormat="false" ht="15" hidden="false" customHeight="true" outlineLevel="0" collapsed="false">
      <c r="A10" s="38" t="str">
        <f aca="false">Inputs!A27</f>
        <v>Shiv temple</v>
      </c>
      <c r="B10" s="12" t="s">
        <v>106</v>
      </c>
      <c r="C10" s="39" t="n">
        <f aca="false">Inputs!D27</f>
        <v>5000</v>
      </c>
      <c r="D10" s="15" t="n">
        <f aca="false">C10*Inputs!$E27</f>
        <v>50</v>
      </c>
      <c r="E10" s="40" t="n">
        <f aca="false">D10/Inputs!$C$8</f>
        <v>4.16666666666667</v>
      </c>
      <c r="F10" s="15" t="n">
        <f aca="false">IF(E10=0,"",Inputs!$C$7/E10)</f>
        <v>4.56</v>
      </c>
      <c r="G10" s="41" t="n">
        <f aca="false">MAX(1,ROUNDUP(E10*Inputs!$C$10/Inputs!$C$7,0))</f>
        <v>2</v>
      </c>
      <c r="H10" s="41" t="n">
        <f aca="false">MAX(G10,H8+Inputs!$J27)</f>
        <v>8</v>
      </c>
      <c r="I10" s="15" t="n">
        <f aca="false">H10*Inputs!$C$7/E10</f>
        <v>36.48</v>
      </c>
      <c r="J10" s="42" t="n">
        <f aca="false">Inputs!$C$9</f>
        <v>2</v>
      </c>
      <c r="K10" s="43" t="n">
        <f aca="false">Inputs!F27</f>
        <v>0.416666666666667</v>
      </c>
      <c r="L10" s="43" t="n">
        <f aca="false">Inputs!G27</f>
        <v>0.833333333333333</v>
      </c>
      <c r="M10" s="12" t="str">
        <f aca="false">IF(Inputs!$C$10&lt;=Inputs!$C$11,"Yes","No")</f>
        <v>Yes</v>
      </c>
    </row>
    <row r="11" customFormat="false" ht="15" hidden="false" customHeight="true" outlineLevel="0" collapsed="false">
      <c r="A11" s="30" t="str">
        <f aca="false">Inputs!A28</f>
        <v>Baave Wali Mata temple</v>
      </c>
      <c r="B11" s="31" t="s">
        <v>104</v>
      </c>
      <c r="C11" s="32" t="n">
        <f aca="false">Inputs!B28</f>
        <v>1000</v>
      </c>
      <c r="D11" s="33" t="n">
        <f aca="false">C11*Inputs!$E28</f>
        <v>13.3333333333333</v>
      </c>
      <c r="E11" s="34" t="n">
        <f aca="false">D11/Inputs!$C$8</f>
        <v>1.11111111111111</v>
      </c>
      <c r="F11" s="33" t="n">
        <f aca="false">IF(E11=0,"",Inputs!$C$7/E11)</f>
        <v>17.1</v>
      </c>
      <c r="G11" s="35" t="n">
        <f aca="false">MAX(1,ROUNDUP(E11*Inputs!$C$10/Inputs!$C$7,0))</f>
        <v>1</v>
      </c>
      <c r="H11" s="35" t="n">
        <f aca="false">MAX(G11,G12,Inputs!$C$14,ROUNDUP(MAX(C11,C12)/Inputs!$C$22,0))</f>
        <v>4</v>
      </c>
      <c r="I11" s="33" t="n">
        <f aca="false">H11*Inputs!$C$7/E11</f>
        <v>68.4</v>
      </c>
      <c r="J11" s="36" t="n">
        <f aca="false">Inputs!$C$9</f>
        <v>2</v>
      </c>
      <c r="K11" s="37" t="n">
        <f aca="false">Inputs!F28</f>
        <v>0.416666666666667</v>
      </c>
      <c r="L11" s="37" t="n">
        <f aca="false">Inputs!G28</f>
        <v>0.833333333333333</v>
      </c>
      <c r="M11" s="31" t="str">
        <f aca="false">IF(Inputs!$C$10&lt;=Inputs!$C$11,"Yes","No")</f>
        <v>Yes</v>
      </c>
    </row>
    <row r="12" customFormat="false" ht="15" hidden="false" customHeight="true" outlineLevel="0" collapsed="false">
      <c r="A12" s="38" t="str">
        <f aca="false">Inputs!A28</f>
        <v>Baave Wali Mata temple</v>
      </c>
      <c r="B12" s="12" t="s">
        <v>105</v>
      </c>
      <c r="C12" s="39" t="n">
        <f aca="false">Inputs!C28</f>
        <v>2000</v>
      </c>
      <c r="D12" s="15" t="n">
        <f aca="false">C12*Inputs!$E28</f>
        <v>26.6666666666667</v>
      </c>
      <c r="E12" s="40" t="n">
        <f aca="false">D12/Inputs!$C$8</f>
        <v>2.22222222222222</v>
      </c>
      <c r="F12" s="15" t="n">
        <f aca="false">IF(E12=0,"",Inputs!$C$7/E12)</f>
        <v>8.55</v>
      </c>
      <c r="G12" s="41" t="n">
        <f aca="false">MAX(1,ROUNDUP(E12*Inputs!$C$10/Inputs!$C$7,0))</f>
        <v>1</v>
      </c>
      <c r="H12" s="41" t="n">
        <f aca="false">MAX(G11,G12,Inputs!$C$14,ROUNDUP(MAX(C11,C12)/Inputs!$C$22,0))</f>
        <v>4</v>
      </c>
      <c r="I12" s="15" t="n">
        <f aca="false">H12*Inputs!$C$7/E12</f>
        <v>34.2</v>
      </c>
      <c r="J12" s="42" t="n">
        <f aca="false">Inputs!$C$9</f>
        <v>2</v>
      </c>
      <c r="K12" s="43" t="n">
        <f aca="false">Inputs!F28</f>
        <v>0.416666666666667</v>
      </c>
      <c r="L12" s="43" t="n">
        <f aca="false">Inputs!G28</f>
        <v>0.833333333333333</v>
      </c>
      <c r="M12" s="12" t="str">
        <f aca="false">IF(Inputs!$C$10&lt;=Inputs!$C$11,"Yes","No")</f>
        <v>Yes</v>
      </c>
    </row>
    <row r="13" customFormat="false" ht="15" hidden="false" customHeight="true" outlineLevel="0" collapsed="false">
      <c r="A13" s="38" t="str">
        <f aca="false">Inputs!A28</f>
        <v>Baave Wali Mata temple</v>
      </c>
      <c r="B13" s="12" t="s">
        <v>106</v>
      </c>
      <c r="C13" s="39" t="n">
        <f aca="false">Inputs!D28</f>
        <v>10000</v>
      </c>
      <c r="D13" s="15" t="n">
        <f aca="false">C13*Inputs!$E28</f>
        <v>133.333333333333</v>
      </c>
      <c r="E13" s="40" t="n">
        <f aca="false">D13/Inputs!$C$8</f>
        <v>11.1111111111111</v>
      </c>
      <c r="F13" s="15" t="n">
        <f aca="false">IF(E13=0,"",Inputs!$C$7/E13)</f>
        <v>1.71</v>
      </c>
      <c r="G13" s="41" t="n">
        <f aca="false">MAX(1,ROUNDUP(E13*Inputs!$C$10/Inputs!$C$7,0))</f>
        <v>4</v>
      </c>
      <c r="H13" s="41" t="n">
        <f aca="false">MAX(G13,H11+Inputs!$J28)</f>
        <v>16</v>
      </c>
      <c r="I13" s="15" t="n">
        <f aca="false">H13*Inputs!$C$7/E13</f>
        <v>27.36</v>
      </c>
      <c r="J13" s="42" t="n">
        <f aca="false">Inputs!$C$9</f>
        <v>2</v>
      </c>
      <c r="K13" s="43" t="n">
        <f aca="false">Inputs!F28</f>
        <v>0.416666666666667</v>
      </c>
      <c r="L13" s="43" t="n">
        <f aca="false">Inputs!G28</f>
        <v>0.833333333333333</v>
      </c>
      <c r="M13" s="12" t="str">
        <f aca="false">IF(Inputs!$C$10&lt;=Inputs!$C$11,"Yes","No")</f>
        <v>Yes</v>
      </c>
    </row>
    <row r="14" customFormat="false" ht="15" hidden="false" customHeight="true" outlineLevel="0" collapsed="false">
      <c r="A14" s="30" t="str">
        <f aca="false">Inputs!A29</f>
        <v>Ranbireshwar temple</v>
      </c>
      <c r="B14" s="31" t="s">
        <v>104</v>
      </c>
      <c r="C14" s="32" t="n">
        <f aca="false">Inputs!B29</f>
        <v>324</v>
      </c>
      <c r="D14" s="33" t="n">
        <f aca="false">C14*Inputs!$E29</f>
        <v>3.355</v>
      </c>
      <c r="E14" s="34" t="n">
        <f aca="false">D14/Inputs!$C$8</f>
        <v>0.279583333333333</v>
      </c>
      <c r="F14" s="33" t="n">
        <f aca="false">IF(E14=0,"",Inputs!$C$7/E14)</f>
        <v>67.9582712369598</v>
      </c>
      <c r="G14" s="35" t="n">
        <f aca="false">MAX(1,ROUNDUP(E14*Inputs!$C$10/Inputs!$C$7,0))</f>
        <v>1</v>
      </c>
      <c r="H14" s="35" t="n">
        <f aca="false">MAX(G14,G15,Inputs!$C$14,ROUNDUP(MAX(C14,C15)/Inputs!$C$22,0))</f>
        <v>2</v>
      </c>
      <c r="I14" s="33" t="n">
        <f aca="false">H14*Inputs!$C$7/E14</f>
        <v>135.91654247392</v>
      </c>
      <c r="J14" s="36" t="n">
        <f aca="false">Inputs!$C$9</f>
        <v>2</v>
      </c>
      <c r="K14" s="37" t="n">
        <f aca="false">Inputs!F29</f>
        <v>0.416666666666667</v>
      </c>
      <c r="L14" s="37" t="n">
        <f aca="false">Inputs!G29</f>
        <v>0.833333333333333</v>
      </c>
      <c r="M14" s="31" t="str">
        <f aca="false">IF(Inputs!$C$10&lt;=Inputs!$C$11,"Yes","No")</f>
        <v>Yes</v>
      </c>
    </row>
    <row r="15" customFormat="false" ht="15" hidden="false" customHeight="true" outlineLevel="0" collapsed="false">
      <c r="A15" s="38" t="str">
        <f aca="false">Inputs!A29</f>
        <v>Ranbireshwar temple</v>
      </c>
      <c r="B15" s="12" t="s">
        <v>105</v>
      </c>
      <c r="C15" s="39" t="n">
        <f aca="false">Inputs!C29</f>
        <v>469.8</v>
      </c>
      <c r="D15" s="15" t="n">
        <f aca="false">C15*Inputs!$E29</f>
        <v>4.86475</v>
      </c>
      <c r="E15" s="40" t="n">
        <f aca="false">D15/Inputs!$C$8</f>
        <v>0.405395833333333</v>
      </c>
      <c r="F15" s="15" t="n">
        <f aca="false">IF(E15=0,"",Inputs!$C$7/E15)</f>
        <v>46.8677732668688</v>
      </c>
      <c r="G15" s="41" t="n">
        <f aca="false">MAX(1,ROUNDUP(E15*Inputs!$C$10/Inputs!$C$7,0))</f>
        <v>1</v>
      </c>
      <c r="H15" s="41" t="n">
        <f aca="false">MAX(G14,G15,Inputs!$C$14,ROUNDUP(MAX(C14,C15)/Inputs!$C$22,0))</f>
        <v>2</v>
      </c>
      <c r="I15" s="15" t="n">
        <f aca="false">H15*Inputs!$C$7/E15</f>
        <v>93.7355465337376</v>
      </c>
      <c r="J15" s="42" t="n">
        <f aca="false">Inputs!$C$9</f>
        <v>2</v>
      </c>
      <c r="K15" s="43" t="n">
        <f aca="false">Inputs!F29</f>
        <v>0.416666666666667</v>
      </c>
      <c r="L15" s="43" t="n">
        <f aca="false">Inputs!G29</f>
        <v>0.833333333333333</v>
      </c>
      <c r="M15" s="12" t="str">
        <f aca="false">IF(Inputs!$C$10&lt;=Inputs!$C$11,"Yes","No")</f>
        <v>Yes</v>
      </c>
    </row>
    <row r="16" customFormat="false" ht="15" hidden="false" customHeight="true" outlineLevel="0" collapsed="false">
      <c r="A16" s="38" t="str">
        <f aca="false">Inputs!A29</f>
        <v>Ranbireshwar temple</v>
      </c>
      <c r="B16" s="12" t="s">
        <v>106</v>
      </c>
      <c r="C16" s="39" t="n">
        <f aca="false">Inputs!D29</f>
        <v>1999</v>
      </c>
      <c r="D16" s="15" t="n">
        <f aca="false">C16*Inputs!$E29</f>
        <v>20.6995216049383</v>
      </c>
      <c r="E16" s="40" t="n">
        <f aca="false">D16/Inputs!$C$8</f>
        <v>1.72496013374486</v>
      </c>
      <c r="F16" s="15" t="n">
        <f aca="false">IF(E16=0,"",Inputs!$C$7/E16)</f>
        <v>11.0147473140445</v>
      </c>
      <c r="G16" s="41" t="n">
        <f aca="false">MAX(1,ROUNDUP(E16*Inputs!$C$10/Inputs!$C$7,0))</f>
        <v>1</v>
      </c>
      <c r="H16" s="41" t="n">
        <f aca="false">MAX(G16,H14+Inputs!$J29)</f>
        <v>4</v>
      </c>
      <c r="I16" s="15" t="n">
        <f aca="false">H16*Inputs!$C$7/E16</f>
        <v>44.058989256178</v>
      </c>
      <c r="J16" s="42" t="n">
        <f aca="false">Inputs!$C$9</f>
        <v>2</v>
      </c>
      <c r="K16" s="43" t="n">
        <f aca="false">Inputs!F29</f>
        <v>0.416666666666667</v>
      </c>
      <c r="L16" s="43" t="n">
        <f aca="false">Inputs!G29</f>
        <v>0.833333333333333</v>
      </c>
      <c r="M16" s="12" t="str">
        <f aca="false">IF(Inputs!$C$10&lt;=Inputs!$C$11,"Yes","No")</f>
        <v>Yes</v>
      </c>
    </row>
    <row r="18" customFormat="false" ht="15" hidden="false" customHeight="true" outlineLevel="0" collapsed="false">
      <c r="A18" s="3"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2026-10-18T14:48:52Z</dcterms:created>
  <dc:creator>openpyxl</dc:creator>
  <dc:description/>
  <dc:language>en-US</dc:language>
  <cp:lastModifiedBy/>
  <dcterms:modified xsi:type="dcterms:W3CDTF">2026-10-18T15:16:30Z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